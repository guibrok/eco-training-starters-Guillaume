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Cx7TtVfrZ7rbEFSh7fsq1F8j8HK4pmBuIUAeV6GNmBw="/>
    </ext>
  </extLst>
</workbook>
</file>

<file path=xl/sharedStrings.xml><?xml version="1.0" encoding="utf-8"?>
<sst xmlns="http://schemas.openxmlformats.org/spreadsheetml/2006/main" count="45" uniqueCount="34">
  <si>
    <t>Date</t>
  </si>
  <si>
    <t>Titre de page</t>
  </si>
  <si>
    <t>Url</t>
  </si>
  <si>
    <t>Nb de requêtes</t>
  </si>
  <si>
    <t>Taille(kb)</t>
  </si>
  <si>
    <t>Taille du dom</t>
  </si>
  <si>
    <t>GES gCO2e</t>
  </si>
  <si>
    <t>Eau cl</t>
  </si>
  <si>
    <t>ecoIndex</t>
  </si>
  <si>
    <t>Note</t>
  </si>
  <si>
    <t>Page d'accueil</t>
  </si>
  <si>
    <t>https://myanimelist.net/</t>
  </si>
  <si>
    <t>G</t>
  </si>
  <si>
    <t>Résultats recherche</t>
  </si>
  <si>
    <t>https://myanimelist.net/search/all?q=naruto</t>
  </si>
  <si>
    <t>E</t>
  </si>
  <si>
    <t>Fiche manga Naruto</t>
  </si>
  <si>
    <t>https://myanimelist.net/manga/11/Naruto</t>
  </si>
  <si>
    <t>F</t>
  </si>
  <si>
    <t>Édition/ajout liste</t>
  </si>
  <si>
    <t>https://myanimelist.net/ownlist/manga/11/edit</t>
  </si>
  <si>
    <t>D</t>
  </si>
  <si>
    <t>Édition/ajout liste validation</t>
  </si>
  <si>
    <t>C</t>
  </si>
  <si>
    <t>Liste personnelle</t>
  </si>
  <si>
    <t>https://myanimelist.net/mangalist/Ayos35</t>
  </si>
  <si>
    <t>Moyenne</t>
  </si>
  <si>
    <t>Cumul</t>
  </si>
  <si>
    <t>Par UF</t>
  </si>
  <si>
    <t>Pour ... UF (par heure)</t>
  </si>
  <si>
    <t>Pour ...*24 UF (par jour)</t>
  </si>
  <si>
    <t>Pour ...*24*30 UF (par mois)</t>
  </si>
  <si>
    <t>GES kgCO2e</t>
  </si>
  <si>
    <t>Eau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</si>
</sst>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11">
    <font>
      <sz val="10.0"/>
      <color rgb="FF000000"/>
      <name val="Arial"/>
      <scheme val="minor"/>
    </font>
    <font>
      <b/>
      <color theme="1"/>
      <name val="Red Hat Display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u/>
      <sz val="11.0"/>
      <color rgb="FF00B4EB"/>
      <name val="Calibri"/>
    </font>
    <font>
      <u/>
      <sz val="11.0"/>
      <color rgb="FF00B4EB"/>
      <name val="Calibri"/>
    </font>
    <font>
      <u/>
      <sz val="11.0"/>
      <color rgb="FF00B4EB"/>
      <name val="Calibri"/>
    </font>
    <font>
      <b/>
      <color rgb="FF000000"/>
      <name val="Red Hat Display"/>
    </font>
    <font>
      <color rgb="FF000000"/>
      <name val="Arial"/>
    </font>
    <font>
      <b/>
      <color rgb="FFFFFFFF"/>
      <name val="Red Hat Display"/>
    </font>
  </fonts>
  <fills count="6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34A853"/>
        <bgColor rgb="FF34A85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2" numFmtId="0" xfId="0" applyBorder="1" applyFont="1"/>
    <xf borderId="1" fillId="2" fontId="3" numFmtId="164" xfId="0" applyAlignment="1" applyBorder="1" applyFill="1" applyFont="1" applyNumberFormat="1">
      <alignment readingOrder="0" shrinkToFit="0" vertical="bottom" wrapText="0"/>
    </xf>
    <xf borderId="1" fillId="2" fontId="4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1" fillId="2" fontId="4" numFmtId="0" xfId="0" applyBorder="1" applyFont="1"/>
    <xf borderId="1" fillId="2" fontId="2" numFmtId="0" xfId="0" applyAlignment="1" applyBorder="1" applyFont="1">
      <alignment readingOrder="0"/>
    </xf>
    <xf borderId="0" fillId="3" fontId="2" numFmtId="0" xfId="0" applyFill="1" applyFont="1"/>
    <xf borderId="1" fillId="0" fontId="3" numFmtId="164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4" numFmtId="0" xfId="0" applyBorder="1" applyFont="1"/>
    <xf borderId="1" fillId="0" fontId="2" numFmtId="0" xfId="0" applyAlignment="1" applyBorder="1" applyFont="1">
      <alignment readingOrder="0"/>
    </xf>
    <xf borderId="1" fillId="3" fontId="3" numFmtId="164" xfId="0" applyAlignment="1" applyBorder="1" applyFont="1" applyNumberForma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3" fontId="7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3" fontId="3" numFmtId="164" xfId="0" applyAlignment="1" applyBorder="1" applyFont="1" applyNumberForma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4" numFmtId="0" xfId="0" applyFont="1"/>
    <xf borderId="0" fillId="4" fontId="4" numFmtId="0" xfId="0" applyFill="1" applyFont="1"/>
    <xf borderId="0" fillId="0" fontId="9" numFmtId="0" xfId="0" applyAlignment="1" applyFont="1">
      <alignment shrinkToFit="0" vertical="bottom" wrapText="0"/>
    </xf>
    <xf borderId="0" fillId="5" fontId="10" numFmtId="0" xfId="0" applyAlignment="1" applyFill="1" applyFont="1">
      <alignment horizontal="center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2" displayName="Table_1" name="Table_1" id="1">
  <tableColumns count="10">
    <tableColumn name="Date" id="1"/>
    <tableColumn name="Titre de page" id="2"/>
    <tableColumn name="Url" id="3"/>
    <tableColumn name="Nb de requêtes" id="4"/>
    <tableColumn name="Taille(kb)" id="5"/>
    <tableColumn name="Taille du dom" id="6"/>
    <tableColumn name="GES gCO2e" id="7"/>
    <tableColumn name="Eau cl" id="8"/>
    <tableColumn name="ecoIndex" id="9"/>
    <tableColumn name="Note" id="10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yanimelist.net/" TargetMode="External"/><Relationship Id="rId2" Type="http://schemas.openxmlformats.org/officeDocument/2006/relationships/hyperlink" Target="https://myanimelist.net/search/all?q=naruto" TargetMode="External"/><Relationship Id="rId3" Type="http://schemas.openxmlformats.org/officeDocument/2006/relationships/hyperlink" Target="https://myanimelist.net/manga/11/Naruto" TargetMode="External"/><Relationship Id="rId4" Type="http://schemas.openxmlformats.org/officeDocument/2006/relationships/hyperlink" Target="https://myanimelist.net/ownlist/manga/11/edit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myanimelist.net/ownlist/manga/11/edit" TargetMode="External"/><Relationship Id="rId6" Type="http://schemas.openxmlformats.org/officeDocument/2006/relationships/hyperlink" Target="https://myanimelist.net/mangalist/Ayos35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22.63"/>
    <col customWidth="1" min="3" max="3" width="59.63"/>
    <col customWidth="1" min="4" max="4" width="22.5"/>
    <col customWidth="1" min="5" max="5" width="12.75"/>
    <col customWidth="1" min="6" max="6" width="15.63"/>
    <col customWidth="1" min="7" max="7" width="14.75"/>
    <col customWidth="1" min="10" max="10" width="14.25"/>
    <col hidden="1" min="11" max="11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/>
      <c r="L1" s="3"/>
    </row>
    <row r="2" ht="15.75" customHeight="1">
      <c r="A2" s="4">
        <v>46181.59159722222</v>
      </c>
      <c r="B2" s="5" t="s">
        <v>10</v>
      </c>
      <c r="C2" s="6" t="s">
        <v>11</v>
      </c>
      <c r="D2" s="7">
        <v>345.0</v>
      </c>
      <c r="E2" s="7">
        <v>5232.0</v>
      </c>
      <c r="F2" s="7">
        <v>5232.0</v>
      </c>
      <c r="G2" s="7">
        <v>2.85</v>
      </c>
      <c r="H2" s="7">
        <v>4.27</v>
      </c>
      <c r="I2" s="7">
        <v>7.65</v>
      </c>
      <c r="J2" s="7" t="s">
        <v>12</v>
      </c>
      <c r="K2" s="8">
        <v>1.0</v>
      </c>
      <c r="L2" s="9">
        <v>1.0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1">
        <v>46181.59195601852</v>
      </c>
      <c r="B3" s="12" t="s">
        <v>13</v>
      </c>
      <c r="C3" s="13" t="s">
        <v>14</v>
      </c>
      <c r="D3" s="14">
        <v>114.0</v>
      </c>
      <c r="E3" s="14">
        <v>2752.0</v>
      </c>
      <c r="F3" s="14">
        <v>1124.0</v>
      </c>
      <c r="G3" s="14">
        <v>2.47</v>
      </c>
      <c r="H3" s="14">
        <v>3.7</v>
      </c>
      <c r="I3" s="14">
        <v>26.58</v>
      </c>
      <c r="J3" s="14" t="s">
        <v>15</v>
      </c>
      <c r="K3" s="15">
        <v>3.0</v>
      </c>
      <c r="L3" s="16">
        <v>3.0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1">
        <v>46181.5921875</v>
      </c>
      <c r="B4" s="12" t="s">
        <v>16</v>
      </c>
      <c r="C4" s="13" t="s">
        <v>17</v>
      </c>
      <c r="D4" s="14">
        <v>209.0</v>
      </c>
      <c r="E4" s="14">
        <v>4046.0</v>
      </c>
      <c r="F4" s="14">
        <v>1685.0</v>
      </c>
      <c r="G4" s="14">
        <v>2.77</v>
      </c>
      <c r="H4" s="14">
        <v>4.15</v>
      </c>
      <c r="I4" s="14">
        <v>11.71</v>
      </c>
      <c r="J4" s="14" t="s">
        <v>18</v>
      </c>
      <c r="K4" s="15">
        <v>2.0</v>
      </c>
      <c r="L4" s="16">
        <v>2.0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11">
        <v>46181.593460648146</v>
      </c>
      <c r="B5" s="12" t="s">
        <v>19</v>
      </c>
      <c r="C5" s="13" t="s">
        <v>20</v>
      </c>
      <c r="D5" s="14">
        <v>69.0</v>
      </c>
      <c r="E5" s="14">
        <v>2549.0</v>
      </c>
      <c r="F5" s="14">
        <v>746.0</v>
      </c>
      <c r="G5" s="14">
        <v>2.13</v>
      </c>
      <c r="H5" s="14">
        <v>3.19</v>
      </c>
      <c r="I5" s="14">
        <v>43.68</v>
      </c>
      <c r="J5" s="14" t="s">
        <v>21</v>
      </c>
      <c r="K5" s="15">
        <v>4.0</v>
      </c>
      <c r="L5" s="16">
        <v>4.0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17">
        <v>46181.59386574074</v>
      </c>
      <c r="B6" s="18" t="s">
        <v>22</v>
      </c>
      <c r="C6" s="19" t="s">
        <v>20</v>
      </c>
      <c r="D6" s="14">
        <v>67.0</v>
      </c>
      <c r="E6" s="14">
        <v>2772.0</v>
      </c>
      <c r="F6" s="14">
        <v>428.0</v>
      </c>
      <c r="G6" s="14">
        <v>1.93</v>
      </c>
      <c r="H6" s="14">
        <v>2.9</v>
      </c>
      <c r="I6" s="14">
        <v>53.27</v>
      </c>
      <c r="J6" s="14" t="s">
        <v>23</v>
      </c>
      <c r="K6" s="15">
        <v>5.0</v>
      </c>
      <c r="L6" s="16">
        <v>5.0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4">
        <v>46181.59491898148</v>
      </c>
      <c r="B7" s="20" t="s">
        <v>24</v>
      </c>
      <c r="C7" s="6" t="s">
        <v>25</v>
      </c>
      <c r="D7" s="7">
        <v>230.0</v>
      </c>
      <c r="E7" s="7">
        <v>3316.0</v>
      </c>
      <c r="F7" s="7">
        <v>4701.0</v>
      </c>
      <c r="G7" s="7">
        <v>2.83</v>
      </c>
      <c r="H7" s="7">
        <v>4.24</v>
      </c>
      <c r="I7" s="7">
        <v>8.74</v>
      </c>
      <c r="J7" s="7" t="s">
        <v>12</v>
      </c>
      <c r="K7" s="8">
        <v>1.0</v>
      </c>
      <c r="L7" s="9">
        <v>1.0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21"/>
      <c r="B8" s="22"/>
      <c r="C8" s="22"/>
      <c r="D8" s="23">
        <v>0.0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 t="s">
        <v>15</v>
      </c>
      <c r="K8" s="15">
        <f t="shared" ref="K8:K12" si="1">AVERAGE(IF(J8:J20="A",5,IF(J8:J20="B",4,IF(J8:J20="C",3,IF(J8:J20="D",2,IF(J8:J20="E",1,NA()))))))</f>
        <v>1</v>
      </c>
      <c r="L8" s="3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21"/>
      <c r="B9" s="22"/>
      <c r="C9" s="22"/>
      <c r="D9" s="23">
        <v>0.0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 t="s">
        <v>15</v>
      </c>
      <c r="K9" s="15">
        <f t="shared" si="1"/>
        <v>1</v>
      </c>
      <c r="L9" s="3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21"/>
      <c r="B10" s="22"/>
      <c r="C10" s="22"/>
      <c r="D10" s="23">
        <v>0.0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 t="s">
        <v>15</v>
      </c>
      <c r="K10" s="15">
        <f t="shared" si="1"/>
        <v>1</v>
      </c>
      <c r="L10" s="3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21"/>
      <c r="B11" s="22"/>
      <c r="C11" s="22"/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 t="s">
        <v>15</v>
      </c>
      <c r="K11" s="15">
        <f t="shared" si="1"/>
        <v>1</v>
      </c>
      <c r="L11" s="3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24"/>
      <c r="B12" s="25"/>
      <c r="C12" s="25"/>
      <c r="D12" s="23">
        <v>0.0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3" t="s">
        <v>15</v>
      </c>
      <c r="K12" s="15">
        <f t="shared" si="1"/>
        <v>1</v>
      </c>
      <c r="L12" s="3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/>
    <row r="15" ht="15.75" customHeight="1">
      <c r="D15" s="26" t="s">
        <v>26</v>
      </c>
      <c r="G15" s="26" t="s">
        <v>27</v>
      </c>
      <c r="I15" s="26" t="s">
        <v>26</v>
      </c>
    </row>
    <row r="16" ht="15.75" customHeight="1">
      <c r="C16" s="27" t="s">
        <v>28</v>
      </c>
      <c r="D16" s="28">
        <f t="shared" ref="D16:F16" si="2">AVERAGE(D2:D7)</f>
        <v>172.3333333</v>
      </c>
      <c r="E16" s="28">
        <f t="shared" si="2"/>
        <v>3444.5</v>
      </c>
      <c r="F16" s="28">
        <f t="shared" si="2"/>
        <v>2319.333333</v>
      </c>
      <c r="G16" s="29">
        <f t="shared" ref="G16:H16" si="3">SUM(G2:G7)</f>
        <v>14.98</v>
      </c>
      <c r="H16" s="29">
        <f t="shared" si="3"/>
        <v>22.45</v>
      </c>
      <c r="I16" s="28">
        <f>AVERAGE(I2:I7)</f>
        <v>25.27166667</v>
      </c>
      <c r="J16" s="28" t="str">
        <f>IF(AVERAGE(K2:K12)&gt;=6.5,"A",
IF(AVERAGE(K2:K12)&gt;=5.5,"B",
IF(AVERAGE(K2:K12)&gt;=4.5,"C",
IF(AVERAGE(K2:K12)&gt;=3.5,"D",
IF(AVERAGE(K2:K12)&gt;=2.5,"E",
IF(AVERAGE(K2:K12)&gt;=1.5,"F",
"G"))))))</f>
        <v>F</v>
      </c>
    </row>
    <row r="17" ht="15.75" customHeight="1">
      <c r="C17" s="30" t="s">
        <v>29</v>
      </c>
      <c r="G17" s="28">
        <f t="shared" ref="G17:H17" si="4">G16*111805</f>
        <v>1674838.9</v>
      </c>
      <c r="H17" s="28">
        <f t="shared" si="4"/>
        <v>2510022.25</v>
      </c>
    </row>
    <row r="18" ht="15.75" customHeight="1">
      <c r="C18" s="30" t="s">
        <v>30</v>
      </c>
      <c r="G18" s="28">
        <f t="shared" ref="G18:H18" si="5">G17*24</f>
        <v>40196133.6</v>
      </c>
      <c r="H18" s="28">
        <f t="shared" si="5"/>
        <v>60240534</v>
      </c>
    </row>
    <row r="19" ht="15.75" customHeight="1">
      <c r="C19" s="30" t="s">
        <v>31</v>
      </c>
      <c r="G19" s="28">
        <f t="shared" ref="G19:H19" si="6">G18*30</f>
        <v>1205884008</v>
      </c>
      <c r="H19" s="28">
        <f t="shared" si="6"/>
        <v>1807216020</v>
      </c>
    </row>
    <row r="20" ht="15.75" customHeight="1"/>
    <row r="21" ht="15.75" customHeight="1">
      <c r="A21" s="30"/>
      <c r="G21" s="31" t="s">
        <v>32</v>
      </c>
      <c r="H21" s="31" t="s">
        <v>33</v>
      </c>
    </row>
    <row r="22" ht="15.75" customHeight="1">
      <c r="C22" s="30" t="s">
        <v>29</v>
      </c>
      <c r="G22" s="28">
        <f>G17/1000</f>
        <v>1674.8389</v>
      </c>
      <c r="H22" s="28">
        <f>H17/100</f>
        <v>25100.2225</v>
      </c>
    </row>
    <row r="23" ht="15.75" customHeight="1">
      <c r="C23" s="30" t="s">
        <v>30</v>
      </c>
      <c r="G23" s="28">
        <f t="shared" ref="G23:H23" si="7">G22*24</f>
        <v>40196.1336</v>
      </c>
      <c r="H23" s="28">
        <f t="shared" si="7"/>
        <v>602405.34</v>
      </c>
    </row>
    <row r="24" ht="15.75" customHeight="1">
      <c r="C24" s="30" t="s">
        <v>31</v>
      </c>
      <c r="G24" s="28">
        <f t="shared" ref="G24:H24" si="8">G23*30</f>
        <v>1205884.008</v>
      </c>
      <c r="H24" s="28">
        <f t="shared" si="8"/>
        <v>18072160.2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15:F15"/>
    <mergeCell ref="G15:H15"/>
    <mergeCell ref="I15:J15"/>
  </mergeCells>
  <dataValidations>
    <dataValidation type="custom" allowBlank="1" showDropDown="1" sqref="A2:A12">
      <formula1>OR(NOT(ISERROR(DATEVALUE(A2))), AND(ISNUMBER(A2), LEFT(CELL("format", A2))="D"))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  <tableParts count="1">
    <tablePart r:id="rId9"/>
  </tableParts>
</worksheet>
</file>